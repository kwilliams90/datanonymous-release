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ollment" sheetId="1" state="visible" r:id="rId1"/>
    <sheet name="Courses" sheetId="2" state="visible" r:id="rId2"/>
    <sheet name="Lookup" sheetId="3" state="hidden" r:id="rId3"/>
    <sheet name="Empty" sheetId="4" state="visible" r:id="rId4"/>
  </sheets>
  <definedNames>
    <definedName name="StudentList">Enrollment!$A$5:$A$44</definedName>
    <definedName name="_xlnm._FilterDatabase" localSheetId="0" hidden="1">'Enrollment'!$A$4:$K$44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mm/dd/yyyy"/>
    <numFmt numFmtId="166" formatCode="0.0%"/>
    <numFmt numFmtId="167" formatCode="00000"/>
    <numFmt numFmtId="168" formatCode="0.0"/>
    <numFmt numFmtId="169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jsmith</author>
  </authors>
  <commentList>
    <comment ref="B7" authorId="0" shapeId="0">
      <text>
        <t>Check spelling with Mrs. Pemberton-Hale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s.lincoln-usd.example/student/000127" TargetMode="Externa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8" customWidth="1" min="2" max="2"/>
    <col width="13" customWidth="1" min="4" max="4"/>
    <col width="15.25" customWidth="1" min="6" max="6"/>
  </cols>
  <sheetData>
    <row r="1">
      <c r="A1" s="1" t="inlineStr">
        <is>
          <t>Lincoln Unified School District - Enrollment Report</t>
        </is>
      </c>
    </row>
    <row r="2">
      <c r="A2" t="inlineStr">
        <is>
          <t>Printed by jsmith on 10/01/2024 08:15 AM</t>
        </is>
      </c>
    </row>
    <row r="4">
      <c r="A4" t="inlineStr">
        <is>
          <t>student_id</t>
        </is>
      </c>
      <c r="B4" t="inlineStr">
        <is>
          <t>last_name</t>
        </is>
      </c>
      <c r="C4" t="inlineStr">
        <is>
          <t>grade</t>
        </is>
      </c>
      <c r="D4" t="inlineStr">
        <is>
          <t>enroll_date</t>
        </is>
      </c>
      <c r="E4" t="inlineStr">
        <is>
          <t>gpa</t>
        </is>
      </c>
      <c r="F4" t="inlineStr">
        <is>
          <t>attendance_rate</t>
        </is>
      </c>
      <c r="G4" t="inlineStr">
        <is>
          <t>zip_code</t>
        </is>
      </c>
      <c r="H4" t="inlineStr">
        <is>
          <t>econ_dis</t>
        </is>
      </c>
      <c r="I4" t="inlineStr">
        <is>
          <t>test_score</t>
        </is>
      </c>
      <c r="J4" t="inlineStr">
        <is>
          <t>credits</t>
        </is>
      </c>
      <c r="K4" t="inlineStr">
        <is>
          <t>points</t>
        </is>
      </c>
    </row>
    <row r="5">
      <c r="A5" t="inlineStr">
        <is>
          <t>000120</t>
        </is>
      </c>
      <c r="B5" t="inlineStr">
        <is>
          <t>Abernathy</t>
        </is>
      </c>
      <c r="C5" t="inlineStr">
        <is>
          <t>KG</t>
        </is>
      </c>
      <c r="D5" s="2" t="n">
        <v>45166</v>
      </c>
      <c r="E5" s="3" t="n">
        <v>3.74</v>
      </c>
      <c r="F5" s="4" t="n">
        <v>0.8398</v>
      </c>
      <c r="G5" s="5" t="n">
        <v>7030</v>
      </c>
      <c r="H5" t="b">
        <v>1</v>
      </c>
      <c r="I5" t="n">
        <v>87</v>
      </c>
      <c r="J5" s="6" t="n">
        <v>3</v>
      </c>
      <c r="K5">
        <f>J5*10</f>
        <v>30</v>
      </c>
    </row>
    <row r="6">
      <c r="A6" t="inlineStr">
        <is>
          <t>000127</t>
        </is>
      </c>
      <c r="B6" t="inlineStr">
        <is>
          <t>Brightwater</t>
        </is>
      </c>
      <c r="C6" t="inlineStr">
        <is>
          <t>04</t>
        </is>
      </c>
      <c r="D6" s="2" t="n">
        <v>45159</v>
      </c>
      <c r="E6" s="3" t="n">
        <v>2.56</v>
      </c>
      <c r="F6" s="4" t="n">
        <v>0.8844</v>
      </c>
      <c r="G6" s="5" t="n">
        <v>10001</v>
      </c>
      <c r="H6" t="b">
        <v>1</v>
      </c>
      <c r="I6" t="n">
        <v>91</v>
      </c>
      <c r="J6" s="6" t="n">
        <v>1</v>
      </c>
      <c r="K6">
        <f>J6*10</f>
        <v>10</v>
      </c>
    </row>
    <row r="7">
      <c r="A7" t="inlineStr">
        <is>
          <t>000134</t>
        </is>
      </c>
      <c r="B7" t="inlineStr">
        <is>
          <t>Castellano</t>
        </is>
      </c>
      <c r="C7" t="inlineStr">
        <is>
          <t>01</t>
        </is>
      </c>
      <c r="D7" s="2" t="n">
        <v>45161</v>
      </c>
      <c r="E7" s="3" t="n">
        <v>1.68</v>
      </c>
      <c r="F7" s="4" t="n">
        <v>0.9979</v>
      </c>
      <c r="G7" s="5" t="n">
        <v>75002</v>
      </c>
      <c r="H7" t="b">
        <v>1</v>
      </c>
      <c r="I7" t="n">
        <v>60</v>
      </c>
      <c r="J7" s="6" t="n">
        <v>1.5</v>
      </c>
      <c r="K7">
        <f>J7*10</f>
        <v>15</v>
      </c>
    </row>
    <row r="8">
      <c r="A8" t="inlineStr">
        <is>
          <t>000141</t>
        </is>
      </c>
      <c r="B8" t="inlineStr">
        <is>
          <t>Delacroix</t>
        </is>
      </c>
      <c r="C8" t="inlineStr">
        <is>
          <t>01</t>
        </is>
      </c>
      <c r="D8" s="2" t="n">
        <v>45161</v>
      </c>
      <c r="E8" s="3" t="n">
        <v>3.99</v>
      </c>
      <c r="F8" s="4" t="n">
        <v>0.9955000000000001</v>
      </c>
      <c r="G8" s="5" t="n">
        <v>10001</v>
      </c>
      <c r="I8" t="n">
        <v>86</v>
      </c>
      <c r="J8" s="6" t="n">
        <v>0.5</v>
      </c>
      <c r="K8">
        <f>J8*10</f>
        <v>5</v>
      </c>
    </row>
    <row r="9">
      <c r="A9" t="inlineStr">
        <is>
          <t>000148</t>
        </is>
      </c>
      <c r="B9" t="inlineStr">
        <is>
          <t>Eastwood</t>
        </is>
      </c>
      <c r="C9" t="inlineStr">
        <is>
          <t>04</t>
        </is>
      </c>
      <c r="D9" s="2" t="n">
        <v>45161</v>
      </c>
      <c r="E9" s="3" t="n"/>
      <c r="F9" s="4" t="n">
        <v>0.9648</v>
      </c>
      <c r="G9" s="5" t="n">
        <v>75001</v>
      </c>
      <c r="H9" t="b">
        <v>1</v>
      </c>
      <c r="I9" t="n">
        <v>68</v>
      </c>
      <c r="J9" s="6" t="n">
        <v>3</v>
      </c>
      <c r="K9">
        <f>J9*10</f>
        <v>30</v>
      </c>
    </row>
    <row r="10">
      <c r="A10" t="inlineStr">
        <is>
          <t>000155</t>
        </is>
      </c>
      <c r="B10" t="inlineStr">
        <is>
          <t>Fairbanks</t>
        </is>
      </c>
      <c r="C10" t="inlineStr">
        <is>
          <t>KG</t>
        </is>
      </c>
      <c r="D10" s="2" t="n">
        <v>45161</v>
      </c>
      <c r="E10" s="3" t="n">
        <v>1.48</v>
      </c>
      <c r="F10" s="4" t="n">
        <v>0.945</v>
      </c>
      <c r="G10" s="5" t="n">
        <v>75001</v>
      </c>
      <c r="H10" t="b">
        <v>1</v>
      </c>
      <c r="I10" t="n">
        <v>70</v>
      </c>
      <c r="J10" s="6" t="n">
        <v>2</v>
      </c>
      <c r="K10">
        <f>J10*10</f>
        <v>20</v>
      </c>
    </row>
    <row r="11">
      <c r="A11" t="inlineStr">
        <is>
          <t>000162</t>
        </is>
      </c>
      <c r="B11" t="inlineStr">
        <is>
          <t>Gallagher</t>
        </is>
      </c>
      <c r="C11" t="inlineStr">
        <is>
          <t>02</t>
        </is>
      </c>
      <c r="D11" s="2" t="n">
        <v>45173</v>
      </c>
      <c r="E11" s="3" t="n">
        <v>1.76</v>
      </c>
      <c r="F11" s="4" t="n">
        <v>0.8536</v>
      </c>
      <c r="G11" s="5" t="n">
        <v>2138</v>
      </c>
      <c r="H11" t="b">
        <v>1</v>
      </c>
      <c r="I11" t="e">
        <v>#N/A</v>
      </c>
      <c r="J11" s="6" t="n">
        <v>1</v>
      </c>
      <c r="K11">
        <f>J11*10</f>
        <v>10</v>
      </c>
    </row>
    <row r="12">
      <c r="A12" t="inlineStr">
        <is>
          <t>000169</t>
        </is>
      </c>
      <c r="B12" t="inlineStr">
        <is>
          <t>Holloway</t>
        </is>
      </c>
      <c r="C12" t="inlineStr">
        <is>
          <t>04</t>
        </is>
      </c>
      <c r="D12" s="2" t="n">
        <v>45155</v>
      </c>
      <c r="E12" s="3" t="n">
        <v>2.39</v>
      </c>
      <c r="F12" s="4" t="n">
        <v>0.889</v>
      </c>
      <c r="G12" s="5" t="n">
        <v>2134</v>
      </c>
      <c r="H12" t="b">
        <v>1</v>
      </c>
      <c r="I12" t="n">
        <v>78</v>
      </c>
      <c r="J12" s="6" t="n">
        <v>1.5</v>
      </c>
      <c r="K12">
        <f>J12*10</f>
        <v>15</v>
      </c>
    </row>
    <row r="13">
      <c r="A13" t="inlineStr">
        <is>
          <t>000176</t>
        </is>
      </c>
      <c r="B13" t="inlineStr">
        <is>
          <t>Ingersoll</t>
        </is>
      </c>
      <c r="C13" t="inlineStr">
        <is>
          <t>02</t>
        </is>
      </c>
      <c r="D13" s="2" t="n">
        <v>45173</v>
      </c>
      <c r="E13" s="3" t="n">
        <v>3.12</v>
      </c>
      <c r="F13" s="4" t="n">
        <v>0.9808</v>
      </c>
      <c r="G13" s="5" t="n">
        <v>75002</v>
      </c>
      <c r="I13" t="n">
        <v>54</v>
      </c>
      <c r="J13" s="6" t="n">
        <v>0.5</v>
      </c>
      <c r="K13">
        <f>J13*10</f>
        <v>5</v>
      </c>
    </row>
    <row r="14">
      <c r="A14" t="inlineStr">
        <is>
          <t>000183</t>
        </is>
      </c>
      <c r="B14" t="inlineStr">
        <is>
          <t>Jablonski</t>
        </is>
      </c>
      <c r="C14" t="inlineStr">
        <is>
          <t>03</t>
        </is>
      </c>
      <c r="D14" s="2" t="n">
        <v>45155</v>
      </c>
      <c r="E14" s="3" t="n">
        <v>2.11</v>
      </c>
      <c r="F14" s="4" t="n">
        <v>0.8594000000000001</v>
      </c>
      <c r="G14" s="5" t="n">
        <v>75001</v>
      </c>
      <c r="H14" t="b">
        <v>0</v>
      </c>
      <c r="I14" t="n">
        <v>94</v>
      </c>
      <c r="J14" s="6" t="n">
        <v>0.5</v>
      </c>
      <c r="K14">
        <f>J14*10</f>
        <v>5</v>
      </c>
    </row>
    <row r="15">
      <c r="A15" t="inlineStr">
        <is>
          <t>000190</t>
        </is>
      </c>
      <c r="B15" t="inlineStr">
        <is>
          <t>Kowalczyk</t>
        </is>
      </c>
      <c r="C15" t="inlineStr">
        <is>
          <t>01</t>
        </is>
      </c>
      <c r="D15" s="2" t="n">
        <v>45160</v>
      </c>
      <c r="E15" s="3" t="n">
        <v>3.04</v>
      </c>
      <c r="F15" s="4" t="n">
        <v>0.9946</v>
      </c>
      <c r="G15" s="5" t="n">
        <v>2134</v>
      </c>
      <c r="H15" t="b">
        <v>1</v>
      </c>
      <c r="I15" t="n">
        <v>74</v>
      </c>
      <c r="J15" s="6" t="n">
        <v>2</v>
      </c>
      <c r="K15">
        <f>J15*10</f>
        <v>20</v>
      </c>
    </row>
    <row r="16">
      <c r="A16" t="inlineStr">
        <is>
          <t>000197</t>
        </is>
      </c>
      <c r="B16" t="inlineStr">
        <is>
          <t>Lindqvist</t>
        </is>
      </c>
      <c r="C16" t="inlineStr">
        <is>
          <t>03</t>
        </is>
      </c>
      <c r="D16" s="2" t="n">
        <v>45173</v>
      </c>
      <c r="E16" s="3" t="n">
        <v>1.95</v>
      </c>
      <c r="F16" s="4" t="n">
        <v>0.826</v>
      </c>
      <c r="G16" s="5" t="n">
        <v>2134</v>
      </c>
      <c r="H16" t="b">
        <v>0</v>
      </c>
      <c r="I16" t="n">
        <v>55</v>
      </c>
      <c r="J16" s="6" t="n">
        <v>2</v>
      </c>
      <c r="K16">
        <f>J16*10</f>
        <v>20</v>
      </c>
    </row>
    <row r="17">
      <c r="A17" t="inlineStr">
        <is>
          <t>000204</t>
        </is>
      </c>
      <c r="B17" t="inlineStr">
        <is>
          <t>Montgomery</t>
        </is>
      </c>
      <c r="C17" t="inlineStr">
        <is>
          <t>03</t>
        </is>
      </c>
      <c r="D17" s="2" t="n">
        <v>45161</v>
      </c>
      <c r="E17" s="3" t="n">
        <v>1.76</v>
      </c>
      <c r="F17" s="4" t="n">
        <v>0.9435</v>
      </c>
      <c r="G17" s="5" t="n">
        <v>2134</v>
      </c>
      <c r="H17" t="b">
        <v>1</v>
      </c>
      <c r="I17" t="n">
        <v>53</v>
      </c>
      <c r="J17" s="6" t="n">
        <v>1</v>
      </c>
      <c r="K17">
        <f>J17*10</f>
        <v>10</v>
      </c>
    </row>
    <row r="18">
      <c r="A18" t="inlineStr">
        <is>
          <t>000211</t>
        </is>
      </c>
      <c r="B18" t="inlineStr">
        <is>
          <t>Northcott</t>
        </is>
      </c>
      <c r="C18" t="inlineStr">
        <is>
          <t>KG</t>
        </is>
      </c>
      <c r="D18" s="2" t="n">
        <v>45163</v>
      </c>
      <c r="E18" s="3" t="n"/>
      <c r="F18" s="4" t="n">
        <v>0.8696</v>
      </c>
      <c r="G18" s="5" t="n">
        <v>10001</v>
      </c>
      <c r="I18" t="n">
        <v>55</v>
      </c>
      <c r="J18" s="6" t="n">
        <v>3</v>
      </c>
      <c r="K18">
        <f>J18*10</f>
        <v>30</v>
      </c>
    </row>
    <row r="19">
      <c r="A19" t="inlineStr">
        <is>
          <t>000218</t>
        </is>
      </c>
      <c r="B19" t="inlineStr">
        <is>
          <t>Okonkwo</t>
        </is>
      </c>
      <c r="C19" t="inlineStr">
        <is>
          <t>KG</t>
        </is>
      </c>
      <c r="D19" s="2" t="n">
        <v>45155</v>
      </c>
      <c r="E19" s="3" t="n">
        <v>2.46</v>
      </c>
      <c r="F19" s="4" t="n">
        <v>0.8266</v>
      </c>
      <c r="G19" s="5" t="n">
        <v>10001</v>
      </c>
      <c r="H19" t="b">
        <v>1</v>
      </c>
      <c r="I19" t="e">
        <v>#N/A</v>
      </c>
      <c r="J19" s="6" t="n">
        <v>2</v>
      </c>
      <c r="K19">
        <f>J19*10</f>
        <v>20</v>
      </c>
    </row>
    <row r="20">
      <c r="A20" t="inlineStr">
        <is>
          <t>000225</t>
        </is>
      </c>
      <c r="B20" t="inlineStr">
        <is>
          <t>Pemberton</t>
        </is>
      </c>
      <c r="C20" t="inlineStr">
        <is>
          <t>04</t>
        </is>
      </c>
      <c r="D20" s="2" t="n">
        <v>45173</v>
      </c>
      <c r="E20" s="3" t="n">
        <v>1.22</v>
      </c>
      <c r="F20" s="4" t="n">
        <v>0.9015</v>
      </c>
      <c r="G20" s="5" t="n">
        <v>2134</v>
      </c>
      <c r="H20" t="b">
        <v>0</v>
      </c>
      <c r="I20" t="n">
        <v>72</v>
      </c>
      <c r="J20" s="6" t="n">
        <v>1</v>
      </c>
      <c r="K20">
        <f>J20*10</f>
        <v>10</v>
      </c>
    </row>
    <row r="21">
      <c r="A21" t="inlineStr">
        <is>
          <t>000232</t>
        </is>
      </c>
      <c r="B21" t="inlineStr">
        <is>
          <t>Quintero</t>
        </is>
      </c>
      <c r="C21" t="inlineStr">
        <is>
          <t>01</t>
        </is>
      </c>
      <c r="D21" s="2" t="n">
        <v>45152</v>
      </c>
      <c r="E21" s="3" t="n">
        <v>1.3</v>
      </c>
      <c r="F21" s="4" t="n">
        <v>0.9676</v>
      </c>
      <c r="G21" s="5" t="n">
        <v>10001</v>
      </c>
      <c r="H21" t="b">
        <v>0</v>
      </c>
      <c r="I21" t="n">
        <v>70</v>
      </c>
      <c r="J21" s="6" t="n">
        <v>1</v>
      </c>
      <c r="K21">
        <f>J21*10</f>
        <v>10</v>
      </c>
    </row>
    <row r="22">
      <c r="A22" t="inlineStr">
        <is>
          <t>000239</t>
        </is>
      </c>
      <c r="B22" t="inlineStr">
        <is>
          <t>Rasmussen</t>
        </is>
      </c>
      <c r="C22" t="inlineStr">
        <is>
          <t>02</t>
        </is>
      </c>
      <c r="D22" s="2" t="n">
        <v>45161</v>
      </c>
      <c r="E22" s="3" t="n">
        <v>3.15</v>
      </c>
      <c r="F22" s="4" t="n">
        <v>0.8793</v>
      </c>
      <c r="G22" s="5" t="n">
        <v>75002</v>
      </c>
      <c r="H22" t="b">
        <v>1</v>
      </c>
      <c r="I22" t="n">
        <v>64</v>
      </c>
      <c r="J22" s="6" t="n">
        <v>0.5</v>
      </c>
      <c r="K22">
        <f>J22*10</f>
        <v>5</v>
      </c>
    </row>
    <row r="23">
      <c r="A23" t="inlineStr">
        <is>
          <t>000246</t>
        </is>
      </c>
      <c r="B23" t="inlineStr">
        <is>
          <t>Sorensen</t>
        </is>
      </c>
      <c r="C23" t="inlineStr">
        <is>
          <t>01</t>
        </is>
      </c>
      <c r="D23" s="2" t="n">
        <v>45155</v>
      </c>
      <c r="E23" s="3" t="n">
        <v>2.67</v>
      </c>
      <c r="F23" s="4" t="n">
        <v>0.9144</v>
      </c>
      <c r="G23" s="5" t="n">
        <v>75001</v>
      </c>
      <c r="I23" t="n">
        <v>94</v>
      </c>
      <c r="J23" s="6" t="n">
        <v>0.5</v>
      </c>
      <c r="K23">
        <f>J23*10</f>
        <v>5</v>
      </c>
    </row>
    <row r="24">
      <c r="A24" t="inlineStr">
        <is>
          <t>000253</t>
        </is>
      </c>
      <c r="B24" t="inlineStr">
        <is>
          <t>Thistlewood</t>
        </is>
      </c>
      <c r="C24" t="inlineStr">
        <is>
          <t>05</t>
        </is>
      </c>
      <c r="D24" s="2" t="n">
        <v>45153</v>
      </c>
      <c r="E24" s="3" t="n">
        <v>1.23</v>
      </c>
      <c r="F24" s="4" t="n">
        <v>0.8832</v>
      </c>
      <c r="G24" s="5" t="n">
        <v>2134</v>
      </c>
      <c r="H24" t="b">
        <v>0</v>
      </c>
      <c r="I24" t="n">
        <v>94</v>
      </c>
      <c r="J24" s="6" t="n">
        <v>1.5</v>
      </c>
      <c r="K24">
        <f>J24*10</f>
        <v>15</v>
      </c>
    </row>
    <row r="25">
      <c r="A25" t="inlineStr">
        <is>
          <t>000260</t>
        </is>
      </c>
      <c r="B25" t="inlineStr">
        <is>
          <t>Underhill</t>
        </is>
      </c>
      <c r="C25" t="inlineStr">
        <is>
          <t>03</t>
        </is>
      </c>
      <c r="D25" s="2" t="n">
        <v>45154</v>
      </c>
      <c r="E25" s="3" t="n">
        <v>1.84</v>
      </c>
      <c r="F25" s="4" t="n">
        <v>0.9736</v>
      </c>
      <c r="G25" s="5" t="n">
        <v>7030</v>
      </c>
      <c r="H25" t="b">
        <v>0</v>
      </c>
      <c r="I25" t="n">
        <v>67</v>
      </c>
      <c r="J25" s="6" t="n">
        <v>1.5</v>
      </c>
      <c r="K25">
        <f>J25*10</f>
        <v>15</v>
      </c>
    </row>
    <row r="26">
      <c r="A26" t="inlineStr">
        <is>
          <t>000267</t>
        </is>
      </c>
      <c r="B26" t="inlineStr">
        <is>
          <t>Valdivia</t>
        </is>
      </c>
      <c r="C26" t="inlineStr">
        <is>
          <t>01</t>
        </is>
      </c>
      <c r="D26" s="2" t="n">
        <v>45163</v>
      </c>
      <c r="E26" s="3" t="n">
        <v>2.3</v>
      </c>
      <c r="F26" s="4" t="n">
        <v>0.9586</v>
      </c>
      <c r="G26" s="5" t="n">
        <v>10001</v>
      </c>
      <c r="H26" t="b">
        <v>1</v>
      </c>
      <c r="I26" t="n">
        <v>89</v>
      </c>
      <c r="J26" s="6" t="n">
        <v>1.5</v>
      </c>
      <c r="K26">
        <f>J26*10</f>
        <v>15</v>
      </c>
    </row>
    <row r="27">
      <c r="A27" t="inlineStr">
        <is>
          <t>000274</t>
        </is>
      </c>
      <c r="B27" t="inlineStr">
        <is>
          <t>Whitcombe</t>
        </is>
      </c>
      <c r="C27" t="inlineStr">
        <is>
          <t>03</t>
        </is>
      </c>
      <c r="D27" s="2" t="n">
        <v>45160</v>
      </c>
      <c r="E27" s="3" t="n"/>
      <c r="F27" s="4" t="n">
        <v>0.8254</v>
      </c>
      <c r="G27" s="5" t="n">
        <v>2134</v>
      </c>
      <c r="H27" t="b">
        <v>1</v>
      </c>
      <c r="I27" t="e">
        <v>#N/A</v>
      </c>
      <c r="J27" s="6" t="n">
        <v>2</v>
      </c>
      <c r="K27">
        <f>J27*10</f>
        <v>20</v>
      </c>
    </row>
    <row r="28">
      <c r="A28" t="inlineStr">
        <is>
          <t>000281</t>
        </is>
      </c>
      <c r="B28" t="inlineStr">
        <is>
          <t>Xiomarra</t>
        </is>
      </c>
      <c r="C28" t="inlineStr">
        <is>
          <t>01</t>
        </is>
      </c>
      <c r="D28" s="2" t="n">
        <v>45173</v>
      </c>
      <c r="E28" s="3" t="n">
        <v>3.2</v>
      </c>
      <c r="F28" s="4" t="n">
        <v>0.9818</v>
      </c>
      <c r="G28" s="5" t="n">
        <v>75001</v>
      </c>
      <c r="I28" t="n">
        <v>52</v>
      </c>
      <c r="J28" s="6" t="n">
        <v>1.5</v>
      </c>
      <c r="K28">
        <f>J28*10</f>
        <v>15</v>
      </c>
    </row>
    <row r="29">
      <c r="A29" t="inlineStr">
        <is>
          <t>000288</t>
        </is>
      </c>
      <c r="B29" t="inlineStr">
        <is>
          <t>Yarborough</t>
        </is>
      </c>
      <c r="C29" t="inlineStr">
        <is>
          <t>01</t>
        </is>
      </c>
      <c r="D29" s="2" t="n">
        <v>45152</v>
      </c>
      <c r="E29" s="3" t="n">
        <v>2</v>
      </c>
      <c r="F29" s="4" t="n">
        <v>0.9703000000000001</v>
      </c>
      <c r="G29" s="5" t="n">
        <v>7030</v>
      </c>
      <c r="H29" t="b">
        <v>0</v>
      </c>
      <c r="I29" t="n">
        <v>75</v>
      </c>
      <c r="J29" s="6" t="n">
        <v>3</v>
      </c>
      <c r="K29">
        <f>J29*10</f>
        <v>30</v>
      </c>
    </row>
    <row r="30">
      <c r="A30" t="inlineStr">
        <is>
          <t>000295</t>
        </is>
      </c>
      <c r="B30" t="inlineStr">
        <is>
          <t>Zielinski</t>
        </is>
      </c>
      <c r="C30" t="inlineStr">
        <is>
          <t>04</t>
        </is>
      </c>
      <c r="D30" s="2" t="n">
        <v>45160</v>
      </c>
      <c r="E30" s="3" t="n">
        <v>2.48</v>
      </c>
      <c r="F30" s="4" t="n">
        <v>0.9244</v>
      </c>
      <c r="G30" s="5" t="n">
        <v>75002</v>
      </c>
      <c r="H30" t="b">
        <v>0</v>
      </c>
      <c r="I30" t="n">
        <v>76</v>
      </c>
      <c r="J30" s="6" t="n">
        <v>3</v>
      </c>
      <c r="K30">
        <f>J30*10</f>
        <v>30</v>
      </c>
    </row>
    <row r="31">
      <c r="A31" t="inlineStr">
        <is>
          <t>000302</t>
        </is>
      </c>
      <c r="B31" t="inlineStr">
        <is>
          <t>Ashcombe</t>
        </is>
      </c>
      <c r="C31" t="inlineStr">
        <is>
          <t>01</t>
        </is>
      </c>
      <c r="D31" s="2" t="n">
        <v>45173</v>
      </c>
      <c r="E31" s="3" t="n">
        <v>1.86</v>
      </c>
      <c r="F31" s="4" t="n">
        <v>0.8270999999999999</v>
      </c>
      <c r="G31" s="5" t="n">
        <v>2138</v>
      </c>
      <c r="H31" t="b">
        <v>1</v>
      </c>
      <c r="I31" t="n">
        <v>66</v>
      </c>
      <c r="J31" s="6" t="n">
        <v>3</v>
      </c>
      <c r="K31">
        <f>J31*10</f>
        <v>30</v>
      </c>
    </row>
    <row r="32">
      <c r="A32" t="inlineStr">
        <is>
          <t>000309</t>
        </is>
      </c>
      <c r="B32" t="inlineStr">
        <is>
          <t>Blackwood</t>
        </is>
      </c>
      <c r="C32" t="inlineStr">
        <is>
          <t>05</t>
        </is>
      </c>
      <c r="D32" s="2" t="n">
        <v>45152</v>
      </c>
      <c r="E32" s="3" t="n">
        <v>2.63</v>
      </c>
      <c r="F32" s="4" t="n">
        <v>0.8854</v>
      </c>
      <c r="G32" s="5" t="n">
        <v>7030</v>
      </c>
      <c r="H32" t="b">
        <v>1</v>
      </c>
      <c r="I32" t="n">
        <v>66</v>
      </c>
      <c r="J32" s="6" t="n">
        <v>1</v>
      </c>
      <c r="K32">
        <f>J32*10</f>
        <v>10</v>
      </c>
    </row>
    <row r="33">
      <c r="A33" t="inlineStr">
        <is>
          <t>000316</t>
        </is>
      </c>
      <c r="B33" t="inlineStr">
        <is>
          <t>Crestfield</t>
        </is>
      </c>
      <c r="C33" t="inlineStr">
        <is>
          <t>01</t>
        </is>
      </c>
      <c r="D33" s="2" t="n">
        <v>45155</v>
      </c>
      <c r="E33" s="3" t="n">
        <v>3.94</v>
      </c>
      <c r="F33" s="4" t="n">
        <v>0.9954</v>
      </c>
      <c r="G33" s="5" t="n">
        <v>10001</v>
      </c>
      <c r="I33" t="n">
        <v>74</v>
      </c>
      <c r="J33" s="6" t="n">
        <v>1</v>
      </c>
      <c r="K33">
        <f>J33*10</f>
        <v>10</v>
      </c>
    </row>
    <row r="34">
      <c r="A34" t="inlineStr">
        <is>
          <t>000323</t>
        </is>
      </c>
      <c r="B34" t="inlineStr">
        <is>
          <t>Dunmore</t>
        </is>
      </c>
      <c r="C34" t="inlineStr">
        <is>
          <t>05</t>
        </is>
      </c>
      <c r="D34" s="2" t="n">
        <v>45154</v>
      </c>
      <c r="E34" s="3" t="n">
        <v>1.6</v>
      </c>
      <c r="F34" s="4" t="n">
        <v>0.822</v>
      </c>
      <c r="G34" s="5" t="n">
        <v>2134</v>
      </c>
      <c r="H34" t="b">
        <v>1</v>
      </c>
      <c r="I34" t="n">
        <v>63</v>
      </c>
      <c r="J34" s="6" t="n">
        <v>2</v>
      </c>
      <c r="K34">
        <f>J34*10</f>
        <v>20</v>
      </c>
    </row>
    <row r="35">
      <c r="A35" t="inlineStr">
        <is>
          <t>000330</t>
        </is>
      </c>
      <c r="B35" t="inlineStr">
        <is>
          <t>Jablonski</t>
        </is>
      </c>
      <c r="C35" t="inlineStr">
        <is>
          <t>KG</t>
        </is>
      </c>
      <c r="D35" s="2" t="n">
        <v>45161</v>
      </c>
      <c r="E35" s="3" t="n">
        <v>1.6</v>
      </c>
      <c r="F35" s="4" t="n">
        <v>0.9015</v>
      </c>
      <c r="G35" s="5" t="n">
        <v>2138</v>
      </c>
      <c r="H35" t="b">
        <v>1</v>
      </c>
      <c r="I35" t="e">
        <v>#N/A</v>
      </c>
      <c r="J35" s="6" t="n">
        <v>1.5</v>
      </c>
      <c r="K35">
        <f>J35*10</f>
        <v>15</v>
      </c>
    </row>
    <row r="36">
      <c r="A36" t="inlineStr">
        <is>
          <t>000337</t>
        </is>
      </c>
      <c r="B36" t="inlineStr">
        <is>
          <t>Ingersoll</t>
        </is>
      </c>
      <c r="C36" t="inlineStr">
        <is>
          <t>03</t>
        </is>
      </c>
      <c r="D36" s="2" t="n">
        <v>45155</v>
      </c>
      <c r="E36" s="3" t="n"/>
      <c r="F36" s="4" t="n">
        <v>0.9744</v>
      </c>
      <c r="G36" s="5" t="n">
        <v>2134</v>
      </c>
      <c r="H36" t="b">
        <v>1</v>
      </c>
      <c r="I36" t="n">
        <v>91</v>
      </c>
      <c r="J36" s="6" t="n">
        <v>2</v>
      </c>
      <c r="K36">
        <f>J36*10</f>
        <v>20</v>
      </c>
    </row>
    <row r="37">
      <c r="A37" t="inlineStr">
        <is>
          <t>000344</t>
        </is>
      </c>
      <c r="B37" t="inlineStr">
        <is>
          <t>Xiomarra</t>
        </is>
      </c>
      <c r="C37" t="inlineStr">
        <is>
          <t>03</t>
        </is>
      </c>
      <c r="D37" s="2" t="n">
        <v>45162</v>
      </c>
      <c r="E37" s="3" t="n">
        <v>2.98</v>
      </c>
      <c r="F37" s="4" t="n">
        <v>0.9292</v>
      </c>
      <c r="G37" s="5" t="n">
        <v>2134</v>
      </c>
      <c r="H37" t="b">
        <v>0</v>
      </c>
      <c r="I37" t="n">
        <v>83</v>
      </c>
      <c r="J37" s="6" t="n">
        <v>0.5</v>
      </c>
      <c r="K37">
        <f>J37*10</f>
        <v>5</v>
      </c>
    </row>
    <row r="38">
      <c r="A38" t="inlineStr">
        <is>
          <t>000351</t>
        </is>
      </c>
      <c r="B38" t="inlineStr">
        <is>
          <t>Brightwater</t>
        </is>
      </c>
      <c r="C38" t="inlineStr">
        <is>
          <t>01</t>
        </is>
      </c>
      <c r="D38" s="2" t="n">
        <v>45155</v>
      </c>
      <c r="E38" s="3" t="n">
        <v>3.54</v>
      </c>
      <c r="F38" s="4" t="n">
        <v>0.9996</v>
      </c>
      <c r="G38" s="5" t="n">
        <v>7030</v>
      </c>
      <c r="I38" t="n">
        <v>57</v>
      </c>
      <c r="J38" s="6" t="n">
        <v>3</v>
      </c>
      <c r="K38">
        <f>J38*10</f>
        <v>30</v>
      </c>
    </row>
    <row r="39">
      <c r="A39" t="inlineStr">
        <is>
          <t>000358</t>
        </is>
      </c>
      <c r="B39" t="inlineStr">
        <is>
          <t>Castellano</t>
        </is>
      </c>
      <c r="C39" t="inlineStr">
        <is>
          <t>02</t>
        </is>
      </c>
      <c r="D39" s="2" t="n">
        <v>45161</v>
      </c>
      <c r="E39" s="3" t="n">
        <v>1.3</v>
      </c>
      <c r="F39" s="4" t="n">
        <v>0.8354</v>
      </c>
      <c r="G39" s="5" t="n">
        <v>75001</v>
      </c>
      <c r="H39" t="b">
        <v>0</v>
      </c>
      <c r="I39" t="n">
        <v>94</v>
      </c>
      <c r="J39" s="6" t="n">
        <v>3</v>
      </c>
      <c r="K39">
        <f>J39*10</f>
        <v>30</v>
      </c>
    </row>
    <row r="40">
      <c r="A40" t="inlineStr">
        <is>
          <t>000365</t>
        </is>
      </c>
      <c r="B40" t="inlineStr">
        <is>
          <t>Quintero</t>
        </is>
      </c>
      <c r="C40" t="inlineStr">
        <is>
          <t>02</t>
        </is>
      </c>
      <c r="D40" s="2" t="n">
        <v>45160</v>
      </c>
      <c r="E40" s="3" t="n">
        <v>1.78</v>
      </c>
      <c r="F40" s="4" t="n">
        <v>0.8426</v>
      </c>
      <c r="G40" s="5" t="n">
        <v>2134</v>
      </c>
      <c r="H40" t="b">
        <v>1</v>
      </c>
      <c r="I40" t="n">
        <v>93</v>
      </c>
      <c r="J40" s="6" t="n">
        <v>2</v>
      </c>
      <c r="K40">
        <f>J40*10</f>
        <v>20</v>
      </c>
    </row>
    <row r="41">
      <c r="A41" t="inlineStr">
        <is>
          <t>000372</t>
        </is>
      </c>
      <c r="B41" t="inlineStr">
        <is>
          <t>Eastwood</t>
        </is>
      </c>
      <c r="C41" t="inlineStr">
        <is>
          <t>KG</t>
        </is>
      </c>
      <c r="D41" s="2" t="n">
        <v>45160</v>
      </c>
      <c r="E41" s="3" t="n">
        <v>2.65</v>
      </c>
      <c r="F41" s="4" t="n">
        <v>0.9867</v>
      </c>
      <c r="G41" s="5" t="n">
        <v>2134</v>
      </c>
      <c r="H41" t="b">
        <v>0</v>
      </c>
      <c r="I41" t="n">
        <v>58</v>
      </c>
      <c r="J41" s="6" t="n">
        <v>1.5</v>
      </c>
      <c r="K41">
        <f>J41*10</f>
        <v>15</v>
      </c>
    </row>
    <row r="42">
      <c r="A42" t="inlineStr">
        <is>
          <t>000379</t>
        </is>
      </c>
      <c r="B42" t="inlineStr">
        <is>
          <t>Sorensen</t>
        </is>
      </c>
      <c r="C42" t="inlineStr">
        <is>
          <t>03</t>
        </is>
      </c>
      <c r="D42" s="2" t="n">
        <v>45166</v>
      </c>
      <c r="E42" s="3" t="n">
        <v>2.43</v>
      </c>
      <c r="F42" s="4" t="n">
        <v>0.8929</v>
      </c>
      <c r="G42" s="5" t="n">
        <v>2134</v>
      </c>
      <c r="H42" t="b">
        <v>1</v>
      </c>
      <c r="I42" t="n">
        <v>78</v>
      </c>
      <c r="J42" s="6" t="n">
        <v>1</v>
      </c>
      <c r="K42">
        <f>J42*10</f>
        <v>10</v>
      </c>
    </row>
    <row r="43">
      <c r="A43" t="inlineStr">
        <is>
          <t>000386</t>
        </is>
      </c>
      <c r="B43" t="inlineStr">
        <is>
          <t>Jablonski</t>
        </is>
      </c>
      <c r="C43" t="inlineStr">
        <is>
          <t>04</t>
        </is>
      </c>
      <c r="D43" s="2" t="n">
        <v>45173</v>
      </c>
      <c r="E43" s="3" t="n">
        <v>3.61</v>
      </c>
      <c r="F43" s="4" t="n">
        <v>0.8537</v>
      </c>
      <c r="G43" s="5" t="n">
        <v>2138</v>
      </c>
      <c r="I43" t="e">
        <v>#N/A</v>
      </c>
      <c r="J43" s="6" t="n">
        <v>3</v>
      </c>
      <c r="K43">
        <f>J43*10</f>
        <v>30</v>
      </c>
    </row>
    <row r="44">
      <c r="A44" t="inlineStr">
        <is>
          <t>000393</t>
        </is>
      </c>
      <c r="B44" t="inlineStr">
        <is>
          <t>Delacroix</t>
        </is>
      </c>
      <c r="C44" t="inlineStr">
        <is>
          <t>03</t>
        </is>
      </c>
      <c r="D44" s="2" t="n">
        <v>45155</v>
      </c>
      <c r="E44" s="3" t="n">
        <v>2.45</v>
      </c>
      <c r="F44" s="4" t="n">
        <v>0.8675</v>
      </c>
      <c r="G44" s="5" t="n">
        <v>75002</v>
      </c>
      <c r="H44" t="b">
        <v>0</v>
      </c>
      <c r="I44" t="n">
        <v>54</v>
      </c>
      <c r="J44" s="6" t="n">
        <v>3</v>
      </c>
      <c r="K44">
        <f>J44*10</f>
        <v>30</v>
      </c>
    </row>
    <row r="45">
      <c r="A45" t="inlineStr">
        <is>
          <t>Total</t>
        </is>
      </c>
      <c r="B45">
        <f>COUNTA(B5:B44)</f>
        <v>40</v>
      </c>
      <c r="E45" s="3">
        <f>AVERAGE(E5:E44)</f>
        <v>2.3833333333333333</v>
      </c>
      <c r="J45">
        <f>SUM(J5:J44)</f>
        <v>69</v>
      </c>
      <c r="K45">
        <f>SUM(K5:K44)</f>
        <v>690</v>
      </c>
    </row>
    <row r="47">
      <c r="A47" t="inlineStr">
        <is>
          <t>Source: SIS nightly export. Questions: jsmith@lincoln-usd.example</t>
        </is>
      </c>
    </row>
  </sheetData>
  <autoFilter ref="A4:K44"/>
  <mergeCells count="1">
    <mergeCell ref="A1:K1"/>
  </mergeCells>
  <dataValidations count="1">
    <dataValidation sqref="C5:C44" showDropDown="0" showInputMessage="0" showErrorMessage="0" allowBlank="0" type="list">
      <formula1>"KG,01,02,03,04,05"</formula1>
    </dataValidation>
  </dataValidations>
  <hyperlinks>
    <hyperlink xmlns:r="http://schemas.openxmlformats.org/officeDocument/2006/relationships" ref="A6" r:id="rId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2" max="2"/>
  </cols>
  <sheetData>
    <row r="1">
      <c r="A1" t="inlineStr">
        <is>
          <t>course_code</t>
        </is>
      </c>
      <c r="B1" t="inlineStr">
        <is>
          <t>department</t>
        </is>
      </c>
      <c r="C1" t="inlineStr">
        <is>
          <t>credits</t>
        </is>
      </c>
      <c r="D1" t="inlineStr">
        <is>
          <t>start_date</t>
        </is>
      </c>
    </row>
    <row r="2">
      <c r="A2" t="inlineStr">
        <is>
          <t>00120</t>
        </is>
      </c>
      <c r="B2" t="inlineStr">
        <is>
          <t>Math</t>
        </is>
      </c>
      <c r="C2" s="6" t="n">
        <v>0.5</v>
      </c>
      <c r="D2" s="7" t="n">
        <v>45152</v>
      </c>
    </row>
    <row r="3">
      <c r="A3" t="inlineStr">
        <is>
          <t>00123</t>
        </is>
      </c>
      <c r="B3" t="inlineStr">
        <is>
          <t>Science</t>
        </is>
      </c>
      <c r="C3" s="6" t="n">
        <v>1</v>
      </c>
      <c r="D3" s="7" t="n">
        <v>45153</v>
      </c>
    </row>
    <row r="4">
      <c r="A4" t="inlineStr">
        <is>
          <t>00126</t>
        </is>
      </c>
      <c r="B4" t="inlineStr">
        <is>
          <t>English</t>
        </is>
      </c>
      <c r="C4" s="6" t="n">
        <v>0.5</v>
      </c>
      <c r="D4" s="7" t="n">
        <v>45154</v>
      </c>
    </row>
    <row r="5">
      <c r="A5" t="inlineStr">
        <is>
          <t>00129</t>
        </is>
      </c>
      <c r="B5" t="inlineStr">
        <is>
          <t>History</t>
        </is>
      </c>
      <c r="C5" s="6" t="n">
        <v>1</v>
      </c>
      <c r="D5" s="7" t="n">
        <v>45155</v>
      </c>
    </row>
    <row r="6">
      <c r="A6" t="inlineStr">
        <is>
          <t>00132</t>
        </is>
      </c>
      <c r="B6" t="inlineStr">
        <is>
          <t>Math</t>
        </is>
      </c>
      <c r="C6" s="6" t="n">
        <v>0.5</v>
      </c>
      <c r="D6" s="7" t="n">
        <v>45156</v>
      </c>
    </row>
    <row r="7">
      <c r="A7" t="inlineStr">
        <is>
          <t>00135</t>
        </is>
      </c>
      <c r="B7" t="inlineStr">
        <is>
          <t>Science</t>
        </is>
      </c>
      <c r="C7" s="6" t="n">
        <v>1</v>
      </c>
      <c r="D7" s="7" t="n">
        <v>45152</v>
      </c>
    </row>
    <row r="8">
      <c r="A8" t="inlineStr">
        <is>
          <t>00138</t>
        </is>
      </c>
      <c r="B8" t="inlineStr">
        <is>
          <t>English</t>
        </is>
      </c>
      <c r="C8" s="6" t="n">
        <v>0.5</v>
      </c>
      <c r="D8" s="7" t="n">
        <v>45153</v>
      </c>
    </row>
    <row r="9">
      <c r="A9" t="inlineStr">
        <is>
          <t>00141</t>
        </is>
      </c>
      <c r="B9" t="inlineStr">
        <is>
          <t>History</t>
        </is>
      </c>
      <c r="C9" s="6" t="n">
        <v>1</v>
      </c>
      <c r="D9" s="7" t="n">
        <v>45154</v>
      </c>
    </row>
    <row r="10">
      <c r="A10" t="inlineStr">
        <is>
          <t>00144</t>
        </is>
      </c>
      <c r="B10" t="inlineStr">
        <is>
          <t>Math</t>
        </is>
      </c>
      <c r="C10" s="6" t="n">
        <v>0.5</v>
      </c>
      <c r="D10" s="7" t="n">
        <v>45155</v>
      </c>
    </row>
    <row r="11">
      <c r="A11" t="inlineStr">
        <is>
          <t>00147</t>
        </is>
      </c>
      <c r="B11" t="inlineStr">
        <is>
          <t>Science</t>
        </is>
      </c>
      <c r="C11" s="6" t="n">
        <v>1</v>
      </c>
      <c r="D11" s="7" t="n">
        <v>45156</v>
      </c>
    </row>
    <row r="12">
      <c r="A12" t="inlineStr">
        <is>
          <t>00150</t>
        </is>
      </c>
      <c r="B12" t="inlineStr">
        <is>
          <t>English</t>
        </is>
      </c>
      <c r="C12" s="6" t="n">
        <v>0.5</v>
      </c>
      <c r="D12" s="7" t="n">
        <v>45152</v>
      </c>
    </row>
    <row r="13">
      <c r="A13" t="inlineStr">
        <is>
          <t>00153</t>
        </is>
      </c>
      <c r="B13" t="inlineStr">
        <is>
          <t>History</t>
        </is>
      </c>
      <c r="C13" s="6" t="n">
        <v>1</v>
      </c>
      <c r="D13" s="7" t="n">
        <v>45153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n">
        <v>1</v>
      </c>
      <c r="B2" t="inlineStr">
        <is>
          <t>Active</t>
        </is>
      </c>
    </row>
    <row r="3">
      <c r="A3" t="n">
        <v>2</v>
      </c>
      <c r="B3" t="inlineStr">
        <is>
          <t>Withdrawn</t>
        </is>
      </c>
    </row>
    <row r="4">
      <c r="A4" t="n">
        <v>3</v>
      </c>
      <c r="B4" t="inlineStr">
        <is>
          <t>Graduated</t>
        </is>
      </c>
    </row>
    <row r="5">
      <c r="A5" t="n">
        <v>4</v>
      </c>
      <c r="B5" t="inlineStr">
        <is>
          <t>Transferred</t>
        </is>
      </c>
    </row>
    <row r="6">
      <c r="A6" t="n">
        <v>5</v>
      </c>
      <c r="B6" t="inlineStr">
        <is>
          <t>Inactive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 Q. Registrar</dc:creator>
  <dc:title>Confidential roster</dc:title>
  <dcterms:created xsi:type="dcterms:W3CDTF">2024-10-01T08:15:00Z</dcterms:created>
  <dcterms:modified xsi:type="dcterms:W3CDTF">2024-10-01T08:15:00Z</dcterms:modified>
</cp:coreProperties>
</file>